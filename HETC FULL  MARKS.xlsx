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14880" windowHeight="807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K61" i="1" l="1"/>
  <c r="P61" i="1" s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50" i="1"/>
  <c r="P51" i="1"/>
  <c r="P52" i="1"/>
  <c r="P54" i="1"/>
  <c r="P55" i="1"/>
  <c r="P56" i="1"/>
  <c r="P57" i="1"/>
  <c r="P58" i="1"/>
  <c r="P59" i="1"/>
  <c r="P60" i="1"/>
  <c r="P63" i="1"/>
  <c r="P64" i="1"/>
  <c r="P65" i="1"/>
  <c r="P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L65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P31" i="1" s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P49" i="1" s="1"/>
  <c r="L50" i="1"/>
  <c r="L51" i="1"/>
  <c r="L52" i="1"/>
  <c r="L54" i="1"/>
  <c r="L55" i="1"/>
  <c r="L56" i="1"/>
  <c r="L57" i="1"/>
  <c r="L58" i="1"/>
  <c r="L59" i="1"/>
  <c r="L60" i="1"/>
  <c r="P62" i="1"/>
  <c r="L63" i="1"/>
  <c r="L64" i="1"/>
  <c r="N65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4" i="1"/>
  <c r="N55" i="1"/>
  <c r="N56" i="1"/>
  <c r="N57" i="1"/>
  <c r="N58" i="1"/>
  <c r="N59" i="1"/>
  <c r="N60" i="1"/>
  <c r="N61" i="1"/>
  <c r="N62" i="1"/>
  <c r="N63" i="1"/>
  <c r="N64" i="1"/>
  <c r="L11" i="1"/>
  <c r="N11" i="1" l="1"/>
  <c r="H11" i="1" l="1"/>
</calcChain>
</file>

<file path=xl/sharedStrings.xml><?xml version="1.0" encoding="utf-8"?>
<sst xmlns="http://schemas.openxmlformats.org/spreadsheetml/2006/main" count="133" uniqueCount="131">
  <si>
    <t>National Rural Development &amp; Research Society’s</t>
  </si>
  <si>
    <t>SURYODAYA COLLEGE OF ENGINEERING &amp; TECHNOLOGY</t>
  </si>
  <si>
    <t>Vihirgaon, Umred Road, Nagpur</t>
  </si>
  <si>
    <t>(An Autonomous Institute Affiliated to RTM Nagpur University, Nagpur)</t>
  </si>
  <si>
    <t>Accredited with Grade “A+” by NAAC</t>
  </si>
  <si>
    <t>SHEET-XIII</t>
  </si>
  <si>
    <t>DEPARTMENT OF COMPUTER ENGINEERING</t>
  </si>
  <si>
    <t>Session: 2025-2026</t>
  </si>
  <si>
    <t>CME501</t>
  </si>
  <si>
    <t>Achal Prakash Ramteke</t>
  </si>
  <si>
    <t>CME502</t>
  </si>
  <si>
    <t>Aishwarya M Adhav</t>
  </si>
  <si>
    <t>CME503</t>
  </si>
  <si>
    <t>Anjali Naresh Gajbhiye</t>
  </si>
  <si>
    <t>CME504</t>
  </si>
  <si>
    <t>Arpita Bhagat</t>
  </si>
  <si>
    <t>CME505</t>
  </si>
  <si>
    <t>Arya Dhande</t>
  </si>
  <si>
    <t>CME506</t>
  </si>
  <si>
    <t>Dipali Dhore</t>
  </si>
  <si>
    <t>CME507</t>
  </si>
  <si>
    <t>Dipti Kodape</t>
  </si>
  <si>
    <t>CME508</t>
  </si>
  <si>
    <t>Falguni V Lambat</t>
  </si>
  <si>
    <t>CME510</t>
  </si>
  <si>
    <t>Kaweri G Harinkhede</t>
  </si>
  <si>
    <t>CME511</t>
  </si>
  <si>
    <t>Khushi R Lanjewar</t>
  </si>
  <si>
    <t>CME512</t>
  </si>
  <si>
    <t>Komal Morghade</t>
  </si>
  <si>
    <t>CME513</t>
  </si>
  <si>
    <t>Mahak Ashtankar</t>
  </si>
  <si>
    <t>CME514</t>
  </si>
  <si>
    <t>Manisha Manoj Tagade</t>
  </si>
  <si>
    <t>CME515</t>
  </si>
  <si>
    <t>Mansi Manoj Shete</t>
  </si>
  <si>
    <t>CME516</t>
  </si>
  <si>
    <t>Mayuri Anil Lanjewar</t>
  </si>
  <si>
    <t>CME517</t>
  </si>
  <si>
    <t>Nandini Pravin Dixit</t>
  </si>
  <si>
    <t>CME518</t>
  </si>
  <si>
    <t>Niyati S Bawankar</t>
  </si>
  <si>
    <t>CME519</t>
  </si>
  <si>
    <t>Prajakta Raju Zod</t>
  </si>
  <si>
    <t>CME520</t>
  </si>
  <si>
    <t>Pranali Diwakar Shende</t>
  </si>
  <si>
    <t>CME521</t>
  </si>
  <si>
    <t>Pranali Rewatkar</t>
  </si>
  <si>
    <t>CME523</t>
  </si>
  <si>
    <t>Abhijit Vijay Raut</t>
  </si>
  <si>
    <t>CME524</t>
  </si>
  <si>
    <t>Abhishek B Pacharne</t>
  </si>
  <si>
    <t>CME525</t>
  </si>
  <si>
    <t>Abhishek Ranbhid Dorle</t>
  </si>
  <si>
    <t>CME526</t>
  </si>
  <si>
    <t>Aditya Pancham Gupta</t>
  </si>
  <si>
    <t>CME527</t>
  </si>
  <si>
    <t>Aniket Gurnule</t>
  </si>
  <si>
    <t>CME528</t>
  </si>
  <si>
    <t>Ansh Ganesh Banewar</t>
  </si>
  <si>
    <t>CME529</t>
  </si>
  <si>
    <t>Aryan Surendra Chauhan</t>
  </si>
  <si>
    <t>CME530</t>
  </si>
  <si>
    <t>Atharva Anil Bhadade</t>
  </si>
  <si>
    <t>CME531</t>
  </si>
  <si>
    <t>Avishkar Lahu Gawali</t>
  </si>
  <si>
    <t>CME532</t>
  </si>
  <si>
    <t>Bhavesh Dilip Varma</t>
  </si>
  <si>
    <t>CME533</t>
  </si>
  <si>
    <t>Chetan Vilas Tighare</t>
  </si>
  <si>
    <t>CME534</t>
  </si>
  <si>
    <t>Devesh D Bhelawe</t>
  </si>
  <si>
    <t>CME535</t>
  </si>
  <si>
    <t>Dhammadip R Gedam</t>
  </si>
  <si>
    <t>CME536</t>
  </si>
  <si>
    <t>Ganesh Baban Shinde</t>
  </si>
  <si>
    <t>CME537</t>
  </si>
  <si>
    <t>Gaurav G Borkar</t>
  </si>
  <si>
    <t>CME538</t>
  </si>
  <si>
    <t>Harsh Amar Mohurley</t>
  </si>
  <si>
    <t>CME539</t>
  </si>
  <si>
    <t>Harshal Sahebrao Raut</t>
  </si>
  <si>
    <t>CME540</t>
  </si>
  <si>
    <t>Hemant Vinod Bhure</t>
  </si>
  <si>
    <t>CME541</t>
  </si>
  <si>
    <t>Hiteshkumar R Khobragde</t>
  </si>
  <si>
    <t>CME542</t>
  </si>
  <si>
    <t>Hussain Arif Salamat</t>
  </si>
  <si>
    <t>CME543</t>
  </si>
  <si>
    <t>Karan R Wayal</t>
  </si>
  <si>
    <t>CME544</t>
  </si>
  <si>
    <t>Kunal Subhash Shirsat</t>
  </si>
  <si>
    <t>CME545</t>
  </si>
  <si>
    <t>Lokesh Bharat Bhoyar</t>
  </si>
  <si>
    <t>CME546</t>
  </si>
  <si>
    <t>Mayur Ajay Harde</t>
  </si>
  <si>
    <t>CME547</t>
  </si>
  <si>
    <t>Mohit Ganesh Watkar</t>
  </si>
  <si>
    <t>CME548</t>
  </si>
  <si>
    <t>Mrunal P Khapekar</t>
  </si>
  <si>
    <t>CME549</t>
  </si>
  <si>
    <t>Nayan Akosh Chavhan</t>
  </si>
  <si>
    <t>CME550</t>
  </si>
  <si>
    <t>Pranay M Panchawate</t>
  </si>
  <si>
    <t>CME551</t>
  </si>
  <si>
    <t>Pranay S Rajkondawar</t>
  </si>
  <si>
    <t>CME552</t>
  </si>
  <si>
    <t>Rakesh Dambhare</t>
  </si>
  <si>
    <t>CME553</t>
  </si>
  <si>
    <t>Vaishnavi Gour</t>
  </si>
  <si>
    <t>CME554</t>
  </si>
  <si>
    <t>Shwetank D Shende</t>
  </si>
  <si>
    <t>CME555</t>
  </si>
  <si>
    <t>Neha Belakhade</t>
  </si>
  <si>
    <t>CME556</t>
  </si>
  <si>
    <t>Avantika Nilamwar</t>
  </si>
  <si>
    <t>CME557</t>
  </si>
  <si>
    <t>Bhavik Marbade</t>
  </si>
  <si>
    <t>Sr.
 No.</t>
  </si>
  <si>
    <t>Roll No.</t>
  </si>
  <si>
    <t>Name of Student</t>
  </si>
  <si>
    <t>CT-1</t>
  </si>
  <si>
    <t>Remedial CT-1</t>
  </si>
  <si>
    <t>BEST OF TWO</t>
  </si>
  <si>
    <t>CT-2</t>
  </si>
  <si>
    <t>Remedial CT-2</t>
  </si>
  <si>
    <t>PESE</t>
  </si>
  <si>
    <t>ABSENT</t>
  </si>
  <si>
    <t>AB</t>
  </si>
  <si>
    <t>AASIGNMENT</t>
  </si>
  <si>
    <t>INTERNAL MARKS(15)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</si>
</sst>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3"/>
      <color theme="1"/>
      <name val="Cambria"/>
      <family val="1"/>
    </font>
    <font>
      <b/>
      <sz val="12"/>
      <color theme="1"/>
      <name val="Cambria"/>
      <family val="1"/>
    </font>
    <font>
      <sz val="10"/>
      <color theme="1"/>
      <name val="Times New Roman"/>
      <family val="1"/>
    </font>
    <font>
      <sz val="10"/>
      <color rgb="FF000000"/>
      <name val="Calibri"/>
      <family val="2"/>
      <scheme val="minor"/>
    </font>
    <font>
      <b/>
      <sz val="18"/>
      <color theme="1"/>
      <name val="Times New Roman"/>
      <family val="1"/>
    </font>
    <font>
      <sz val="18"/>
      <color theme="1"/>
      <name val="Calibri"/>
      <family val="2"/>
      <scheme val="minor"/>
    </font>
    <font>
      <b/>
      <sz val="18"/>
      <color theme="1"/>
      <name val="&quot;Cambria&quot;"/>
    </font>
    <font>
      <b/>
      <sz val="18"/>
      <color theme="1"/>
      <name val="Calibri"/>
      <family val="2"/>
      <scheme val="minor"/>
    </font>
    <font>
      <sz val="18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94B3D6"/>
        <bgColor rgb="FF94B3D6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94B3D6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2">
    <xf numFmtId="0" fontId="0" fillId="0" borderId="0"/>
    <xf numFmtId="0" fontId="5" fillId="0" borderId="0"/>
  </cellStyleXfs>
  <cellXfs count="74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0" xfId="0" applyBorder="1" applyAlignment="1">
      <alignment wrapText="1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7" fillId="0" borderId="0" xfId="0" applyFont="1"/>
    <xf numFmtId="0" fontId="6" fillId="0" borderId="0" xfId="0" applyFont="1" applyBorder="1" applyAlignment="1">
      <alignment horizontal="center" wrapText="1"/>
    </xf>
    <xf numFmtId="0" fontId="6" fillId="0" borderId="0" xfId="0" applyFont="1" applyBorder="1" applyAlignment="1">
      <alignment horizontal="center" wrapText="1"/>
    </xf>
    <xf numFmtId="0" fontId="8" fillId="2" borderId="5" xfId="1" applyFont="1" applyFill="1" applyBorder="1" applyAlignment="1">
      <alignment horizontal="center" vertical="top"/>
    </xf>
    <xf numFmtId="0" fontId="9" fillId="2" borderId="5" xfId="1" applyFont="1" applyFill="1" applyBorder="1" applyAlignment="1">
      <alignment horizontal="center" vertical="top" wrapText="1"/>
    </xf>
    <xf numFmtId="0" fontId="9" fillId="2" borderId="5" xfId="1" applyFont="1" applyFill="1" applyBorder="1" applyAlignment="1">
      <alignment horizontal="center" vertical="top"/>
    </xf>
    <xf numFmtId="0" fontId="9" fillId="2" borderId="7" xfId="1" applyFont="1" applyFill="1" applyBorder="1" applyAlignment="1">
      <alignment horizontal="center" vertical="top"/>
    </xf>
    <xf numFmtId="0" fontId="9" fillId="2" borderId="6" xfId="1" applyFont="1" applyFill="1" applyBorder="1" applyAlignment="1">
      <alignment horizontal="center" vertical="top"/>
    </xf>
    <xf numFmtId="0" fontId="9" fillId="4" borderId="8" xfId="1" applyFont="1" applyFill="1" applyBorder="1" applyAlignment="1">
      <alignment horizontal="center" vertical="top"/>
    </xf>
    <xf numFmtId="0" fontId="9" fillId="2" borderId="8" xfId="1" applyFont="1" applyFill="1" applyBorder="1" applyAlignment="1">
      <alignment horizontal="center" vertical="top"/>
    </xf>
    <xf numFmtId="0" fontId="9" fillId="4" borderId="6" xfId="1" applyFont="1" applyFill="1" applyBorder="1" applyAlignment="1">
      <alignment horizontal="center" vertical="top"/>
    </xf>
    <xf numFmtId="0" fontId="9" fillId="4" borderId="12" xfId="1" applyFont="1" applyFill="1" applyBorder="1" applyAlignment="1">
      <alignment horizontal="center" vertical="top"/>
    </xf>
    <xf numFmtId="0" fontId="9" fillId="2" borderId="12" xfId="1" applyFont="1" applyFill="1" applyBorder="1" applyAlignment="1">
      <alignment horizontal="center" vertical="top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vertical="top" wrapText="1"/>
    </xf>
    <xf numFmtId="0" fontId="10" fillId="0" borderId="2" xfId="0" applyFont="1" applyBorder="1" applyAlignment="1">
      <alignment horizontal="center" vertical="top" wrapText="1"/>
    </xf>
    <xf numFmtId="0" fontId="10" fillId="0" borderId="13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1" fontId="7" fillId="0" borderId="6" xfId="0" applyNumberFormat="1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top" wrapText="1"/>
    </xf>
    <xf numFmtId="0" fontId="10" fillId="0" borderId="3" xfId="0" applyFont="1" applyBorder="1" applyAlignment="1">
      <alignment horizontal="center" vertical="top" wrapText="1"/>
    </xf>
    <xf numFmtId="1" fontId="10" fillId="0" borderId="2" xfId="0" applyNumberFormat="1" applyFont="1" applyBorder="1" applyAlignment="1">
      <alignment horizontal="center" vertical="top" wrapText="1"/>
    </xf>
    <xf numFmtId="1" fontId="10" fillId="0" borderId="2" xfId="0" applyNumberFormat="1" applyFont="1" applyBorder="1" applyAlignment="1">
      <alignment horizontal="center" wrapText="1"/>
    </xf>
    <xf numFmtId="0" fontId="6" fillId="0" borderId="14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top" wrapText="1"/>
    </xf>
    <xf numFmtId="0" fontId="10" fillId="0" borderId="14" xfId="0" applyFont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top" wrapText="1"/>
    </xf>
    <xf numFmtId="0" fontId="10" fillId="5" borderId="4" xfId="0" applyFont="1" applyFill="1" applyBorder="1" applyAlignment="1">
      <alignment vertical="top" wrapText="1"/>
    </xf>
    <xf numFmtId="0" fontId="10" fillId="5" borderId="3" xfId="0" applyFont="1" applyFill="1" applyBorder="1" applyAlignment="1">
      <alignment horizontal="center" vertical="top" wrapText="1"/>
    </xf>
    <xf numFmtId="0" fontId="10" fillId="5" borderId="14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/>
    </xf>
    <xf numFmtId="1" fontId="7" fillId="5" borderId="6" xfId="0" applyNumberFormat="1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center" vertical="top" wrapText="1"/>
    </xf>
    <xf numFmtId="1" fontId="10" fillId="5" borderId="2" xfId="0" applyNumberFormat="1" applyFont="1" applyFill="1" applyBorder="1" applyAlignment="1">
      <alignment horizontal="center" vertical="top" wrapText="1"/>
    </xf>
    <xf numFmtId="1" fontId="10" fillId="5" borderId="2" xfId="0" applyNumberFormat="1" applyFont="1" applyFill="1" applyBorder="1" applyAlignment="1">
      <alignment horizontal="center" wrapText="1"/>
    </xf>
    <xf numFmtId="0" fontId="7" fillId="5" borderId="3" xfId="0" applyFont="1" applyFill="1" applyBorder="1" applyAlignment="1">
      <alignment vertical="top" wrapText="1"/>
    </xf>
    <xf numFmtId="0" fontId="7" fillId="3" borderId="3" xfId="0" applyFont="1" applyFill="1" applyBorder="1" applyAlignment="1">
      <alignment vertical="top" wrapText="1"/>
    </xf>
    <xf numFmtId="0" fontId="10" fillId="0" borderId="15" xfId="0" applyFont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top" wrapText="1"/>
    </xf>
    <xf numFmtId="0" fontId="7" fillId="0" borderId="8" xfId="0" applyFont="1" applyBorder="1"/>
    <xf numFmtId="0" fontId="7" fillId="5" borderId="9" xfId="0" applyFont="1" applyFill="1" applyBorder="1" applyAlignment="1">
      <alignment vertical="top" wrapText="1"/>
    </xf>
    <xf numFmtId="0" fontId="7" fillId="5" borderId="8" xfId="0" applyFont="1" applyFill="1" applyBorder="1"/>
    <xf numFmtId="0" fontId="10" fillId="5" borderId="3" xfId="0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top" wrapText="1"/>
    </xf>
    <xf numFmtId="0" fontId="10" fillId="0" borderId="17" xfId="0" applyFont="1" applyBorder="1" applyAlignment="1">
      <alignment horizontal="center" vertical="top" wrapText="1"/>
    </xf>
    <xf numFmtId="0" fontId="10" fillId="0" borderId="18" xfId="0" applyFont="1" applyBorder="1" applyAlignment="1">
      <alignment horizontal="center" vertical="top" wrapText="1"/>
    </xf>
    <xf numFmtId="0" fontId="10" fillId="0" borderId="6" xfId="0" applyFont="1" applyBorder="1" applyAlignment="1">
      <alignment horizontal="center" vertical="top" wrapText="1"/>
    </xf>
    <xf numFmtId="0" fontId="10" fillId="5" borderId="17" xfId="0" applyFont="1" applyFill="1" applyBorder="1" applyAlignment="1">
      <alignment horizontal="center" vertical="top" wrapText="1"/>
    </xf>
    <xf numFmtId="0" fontId="7" fillId="5" borderId="8" xfId="0" applyFont="1" applyFill="1" applyBorder="1" applyAlignment="1">
      <alignment horizontal="center" vertical="center"/>
    </xf>
    <xf numFmtId="1" fontId="10" fillId="5" borderId="6" xfId="0" applyNumberFormat="1" applyFont="1" applyFill="1" applyBorder="1" applyAlignment="1">
      <alignment horizontal="center" vertical="top" wrapText="1"/>
    </xf>
    <xf numFmtId="0" fontId="10" fillId="5" borderId="6" xfId="0" applyFont="1" applyFill="1" applyBorder="1" applyAlignment="1">
      <alignment horizontal="center" vertical="top" wrapText="1"/>
    </xf>
    <xf numFmtId="0" fontId="10" fillId="5" borderId="2" xfId="0" applyFont="1" applyFill="1" applyBorder="1" applyAlignment="1">
      <alignment horizontal="center" vertical="top" wrapText="1"/>
    </xf>
    <xf numFmtId="0" fontId="10" fillId="5" borderId="9" xfId="0" applyFont="1" applyFill="1" applyBorder="1" applyAlignment="1">
      <alignment horizontal="center" vertical="top" wrapText="1"/>
    </xf>
    <xf numFmtId="0" fontId="10" fillId="0" borderId="19" xfId="0" applyFont="1" applyBorder="1" applyAlignment="1">
      <alignment horizontal="center" vertical="top" wrapText="1"/>
    </xf>
    <xf numFmtId="0" fontId="10" fillId="0" borderId="9" xfId="0" applyFont="1" applyBorder="1" applyAlignment="1">
      <alignment horizontal="center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3"/>
  <sheetViews>
    <sheetView tabSelected="1" topLeftCell="B46" zoomScale="64" zoomScaleNormal="64" workbookViewId="0">
      <selection activeCell="J11" sqref="J11:J65"/>
    </sheetView>
  </sheetViews>
  <sheetFormatPr defaultRowHeight="15"/>
  <cols>
    <col min="3" max="3" width="13.5703125" customWidth="1"/>
    <col min="4" max="4" width="39.85546875" customWidth="1"/>
    <col min="5" max="5" width="12.42578125" customWidth="1"/>
    <col min="6" max="6" width="29" customWidth="1"/>
    <col min="7" max="8" width="16.7109375" customWidth="1"/>
    <col min="10" max="12" width="26.7109375" customWidth="1"/>
    <col min="13" max="15" width="10.85546875" customWidth="1"/>
    <col min="16" max="16" width="38" customWidth="1"/>
  </cols>
  <sheetData>
    <row r="1" spans="1:16" ht="16.5" customHeight="1" thickBot="1">
      <c r="A1" s="2"/>
      <c r="B1" s="13" t="s">
        <v>0</v>
      </c>
      <c r="C1" s="13"/>
      <c r="D1" s="13"/>
      <c r="E1" s="13"/>
      <c r="F1" s="13"/>
      <c r="G1" s="13"/>
      <c r="H1" s="13"/>
      <c r="I1" s="13"/>
      <c r="J1" s="13"/>
      <c r="K1" s="1"/>
      <c r="L1" s="7"/>
    </row>
    <row r="2" spans="1:16" ht="17.25" customHeight="1" thickBot="1">
      <c r="A2" s="2"/>
      <c r="B2" s="14" t="s">
        <v>1</v>
      </c>
      <c r="C2" s="14"/>
      <c r="D2" s="14"/>
      <c r="E2" s="14"/>
      <c r="F2" s="14"/>
      <c r="G2" s="14"/>
      <c r="H2" s="14"/>
      <c r="I2" s="14"/>
      <c r="J2" s="14"/>
      <c r="K2" s="4"/>
      <c r="L2" s="8"/>
    </row>
    <row r="3" spans="1:16" ht="16.5" customHeight="1" thickBot="1">
      <c r="A3" s="2"/>
      <c r="B3" s="15" t="s">
        <v>2</v>
      </c>
      <c r="C3" s="15"/>
      <c r="D3" s="15"/>
      <c r="E3" s="15"/>
      <c r="F3" s="15"/>
      <c r="G3" s="15"/>
      <c r="H3" s="15"/>
      <c r="I3" s="15"/>
      <c r="J3" s="15"/>
      <c r="K3" s="5"/>
      <c r="L3" s="9"/>
    </row>
    <row r="4" spans="1:16" ht="15.75" customHeight="1" thickBot="1">
      <c r="A4" s="2"/>
      <c r="B4" s="16" t="s">
        <v>3</v>
      </c>
      <c r="C4" s="16"/>
      <c r="D4" s="16"/>
      <c r="E4" s="16"/>
      <c r="F4" s="16"/>
      <c r="G4" s="16"/>
      <c r="H4" s="16"/>
      <c r="I4" s="16"/>
      <c r="J4" s="16"/>
      <c r="K4" s="6"/>
      <c r="L4" s="10"/>
    </row>
    <row r="5" spans="1:16" ht="16.5" customHeight="1" thickBot="1">
      <c r="A5" s="2"/>
      <c r="B5" s="13" t="s">
        <v>4</v>
      </c>
      <c r="C5" s="13"/>
      <c r="D5" s="13"/>
      <c r="E5" s="13"/>
      <c r="F5" s="13"/>
      <c r="G5" s="13"/>
      <c r="H5" s="13"/>
      <c r="I5" s="13"/>
      <c r="J5" s="13"/>
      <c r="K5" s="1"/>
      <c r="L5" s="7"/>
    </row>
    <row r="6" spans="1:16" ht="15.75" customHeight="1" thickBot="1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6" ht="24.95" customHeight="1" thickBot="1">
      <c r="A7" s="2"/>
      <c r="B7" s="17" t="s">
        <v>5</v>
      </c>
      <c r="C7" s="17"/>
      <c r="D7" s="17"/>
      <c r="E7" s="17"/>
      <c r="F7" s="17"/>
      <c r="G7" s="17"/>
      <c r="H7" s="17"/>
      <c r="I7" s="17"/>
      <c r="J7" s="17"/>
      <c r="K7" s="18"/>
      <c r="L7" s="18"/>
      <c r="M7" s="19"/>
      <c r="N7" s="19"/>
      <c r="O7" s="19"/>
      <c r="P7" s="19"/>
    </row>
    <row r="8" spans="1:16" ht="24.95" customHeight="1" thickBot="1">
      <c r="A8" s="2"/>
      <c r="B8" s="20" t="s">
        <v>6</v>
      </c>
      <c r="C8" s="20"/>
      <c r="D8" s="20"/>
      <c r="E8" s="20"/>
      <c r="F8" s="20"/>
      <c r="G8" s="20"/>
      <c r="H8" s="20"/>
      <c r="I8" s="20"/>
      <c r="J8" s="20"/>
      <c r="K8" s="21"/>
      <c r="L8" s="21"/>
      <c r="M8" s="19"/>
      <c r="N8" s="19"/>
      <c r="O8" s="19"/>
      <c r="P8" s="19"/>
    </row>
    <row r="9" spans="1:16" ht="24.95" customHeight="1" thickBot="1">
      <c r="A9" s="2"/>
      <c r="B9" s="20" t="s">
        <v>7</v>
      </c>
      <c r="C9" s="20"/>
      <c r="D9" s="20"/>
      <c r="E9" s="20"/>
      <c r="F9" s="20"/>
      <c r="G9" s="20"/>
      <c r="H9" s="20"/>
      <c r="I9" s="20"/>
      <c r="J9" s="20"/>
      <c r="K9" s="21"/>
      <c r="L9" s="21"/>
      <c r="M9" s="19"/>
      <c r="N9" s="19"/>
      <c r="O9" s="19"/>
      <c r="P9" s="19"/>
    </row>
    <row r="10" spans="1:16" ht="24.95" customHeight="1" thickBot="1">
      <c r="B10" s="22" t="s">
        <v>118</v>
      </c>
      <c r="C10" s="22" t="s">
        <v>119</v>
      </c>
      <c r="D10" s="23" t="s">
        <v>120</v>
      </c>
      <c r="E10" s="24" t="s">
        <v>121</v>
      </c>
      <c r="F10" s="25" t="s">
        <v>122</v>
      </c>
      <c r="G10" s="26" t="s">
        <v>123</v>
      </c>
      <c r="H10" s="27">
        <v>2.5</v>
      </c>
      <c r="I10" s="28" t="s">
        <v>124</v>
      </c>
      <c r="J10" s="26" t="s">
        <v>125</v>
      </c>
      <c r="K10" s="26" t="s">
        <v>123</v>
      </c>
      <c r="L10" s="29">
        <v>2.5</v>
      </c>
      <c r="M10" s="26" t="s">
        <v>126</v>
      </c>
      <c r="N10" s="30">
        <v>10</v>
      </c>
      <c r="O10" s="31" t="s">
        <v>129</v>
      </c>
      <c r="P10" s="31" t="s">
        <v>130</v>
      </c>
    </row>
    <row r="11" spans="1:16" ht="24.95" customHeight="1" thickBot="1">
      <c r="B11" s="32">
        <v>1</v>
      </c>
      <c r="C11" s="33" t="s">
        <v>8</v>
      </c>
      <c r="D11" s="33" t="s">
        <v>9</v>
      </c>
      <c r="E11" s="34">
        <v>7</v>
      </c>
      <c r="F11" s="35">
        <v>12</v>
      </c>
      <c r="G11" s="36">
        <v>12</v>
      </c>
      <c r="H11" s="37">
        <f>(G11*2.5)/15</f>
        <v>2</v>
      </c>
      <c r="I11" s="38">
        <v>9</v>
      </c>
      <c r="J11" s="39"/>
      <c r="K11" s="34">
        <v>9</v>
      </c>
      <c r="L11" s="40">
        <f>(K11*2.5)/15</f>
        <v>1.5</v>
      </c>
      <c r="M11" s="34">
        <v>19</v>
      </c>
      <c r="N11" s="40">
        <f>(M11*10)/35</f>
        <v>5.4285714285714288</v>
      </c>
      <c r="O11" s="34">
        <v>5</v>
      </c>
      <c r="P11" s="41">
        <f>(H11+L11+N11+O11)</f>
        <v>13.928571428571429</v>
      </c>
    </row>
    <row r="12" spans="1:16" ht="24.95" customHeight="1" thickBot="1">
      <c r="B12" s="32">
        <v>2</v>
      </c>
      <c r="C12" s="33" t="s">
        <v>10</v>
      </c>
      <c r="D12" s="33" t="s">
        <v>11</v>
      </c>
      <c r="E12" s="39">
        <v>4</v>
      </c>
      <c r="F12" s="42"/>
      <c r="G12" s="36">
        <v>4</v>
      </c>
      <c r="H12" s="37">
        <f t="shared" ref="H12:H65" si="0">(G12*2.5)/15</f>
        <v>0.66666666666666663</v>
      </c>
      <c r="I12" s="43">
        <v>7</v>
      </c>
      <c r="J12" s="39"/>
      <c r="K12" s="39">
        <v>7</v>
      </c>
      <c r="L12" s="40">
        <f t="shared" ref="L12:L65" si="1">(K12*2.5)/15</f>
        <v>1.1666666666666667</v>
      </c>
      <c r="M12" s="39">
        <v>9</v>
      </c>
      <c r="N12" s="40">
        <f t="shared" ref="N12:N65" si="2">(M12*10)/35</f>
        <v>2.5714285714285716</v>
      </c>
      <c r="O12" s="34">
        <v>5</v>
      </c>
      <c r="P12" s="41">
        <f t="shared" ref="P12:P65" si="3">(H12+L12+N12+O12)</f>
        <v>9.4047619047619051</v>
      </c>
    </row>
    <row r="13" spans="1:16" ht="24.95" customHeight="1" thickBot="1">
      <c r="B13" s="32">
        <v>3</v>
      </c>
      <c r="C13" s="33" t="s">
        <v>12</v>
      </c>
      <c r="D13" s="33" t="s">
        <v>13</v>
      </c>
      <c r="E13" s="39">
        <v>9</v>
      </c>
      <c r="F13" s="44"/>
      <c r="G13" s="36">
        <v>9</v>
      </c>
      <c r="H13" s="37">
        <f t="shared" si="0"/>
        <v>1.5</v>
      </c>
      <c r="I13" s="43">
        <v>9</v>
      </c>
      <c r="J13" s="39"/>
      <c r="K13" s="39">
        <v>9</v>
      </c>
      <c r="L13" s="40">
        <f t="shared" si="1"/>
        <v>1.5</v>
      </c>
      <c r="M13" s="32">
        <v>11</v>
      </c>
      <c r="N13" s="40">
        <f t="shared" si="2"/>
        <v>3.1428571428571428</v>
      </c>
      <c r="O13" s="34">
        <v>5</v>
      </c>
      <c r="P13" s="41">
        <f t="shared" si="3"/>
        <v>11.142857142857142</v>
      </c>
    </row>
    <row r="14" spans="1:16" ht="24.95" customHeight="1" thickBot="1">
      <c r="B14" s="32">
        <v>4</v>
      </c>
      <c r="C14" s="33" t="s">
        <v>14</v>
      </c>
      <c r="D14" s="33" t="s">
        <v>15</v>
      </c>
      <c r="E14" s="39">
        <v>9</v>
      </c>
      <c r="F14" s="42"/>
      <c r="G14" s="36">
        <v>9</v>
      </c>
      <c r="H14" s="37">
        <f t="shared" si="0"/>
        <v>1.5</v>
      </c>
      <c r="I14" s="43">
        <v>10</v>
      </c>
      <c r="J14" s="39"/>
      <c r="K14" s="39">
        <v>10</v>
      </c>
      <c r="L14" s="40">
        <f t="shared" si="1"/>
        <v>1.6666666666666667</v>
      </c>
      <c r="M14" s="39">
        <v>20</v>
      </c>
      <c r="N14" s="40">
        <f t="shared" si="2"/>
        <v>5.7142857142857144</v>
      </c>
      <c r="O14" s="34">
        <v>5</v>
      </c>
      <c r="P14" s="41">
        <f t="shared" si="3"/>
        <v>13.880952380952381</v>
      </c>
    </row>
    <row r="15" spans="1:16" ht="24.95" customHeight="1" thickBot="1">
      <c r="B15" s="32">
        <v>5</v>
      </c>
      <c r="C15" s="33" t="s">
        <v>16</v>
      </c>
      <c r="D15" s="33" t="s">
        <v>17</v>
      </c>
      <c r="E15" s="45">
        <v>4</v>
      </c>
      <c r="F15" s="44">
        <v>10</v>
      </c>
      <c r="G15" s="36">
        <v>10</v>
      </c>
      <c r="H15" s="37">
        <f t="shared" si="0"/>
        <v>1.6666666666666667</v>
      </c>
      <c r="I15" s="43"/>
      <c r="J15" s="39"/>
      <c r="K15" s="39">
        <v>7</v>
      </c>
      <c r="L15" s="40">
        <f t="shared" si="1"/>
        <v>1.1666666666666667</v>
      </c>
      <c r="M15" s="39">
        <v>10</v>
      </c>
      <c r="N15" s="40">
        <f t="shared" si="2"/>
        <v>2.8571428571428572</v>
      </c>
      <c r="O15" s="34">
        <v>5</v>
      </c>
      <c r="P15" s="41">
        <f t="shared" si="3"/>
        <v>10.69047619047619</v>
      </c>
    </row>
    <row r="16" spans="1:16" ht="24.95" customHeight="1" thickBot="1">
      <c r="B16" s="32">
        <v>6</v>
      </c>
      <c r="C16" s="33" t="s">
        <v>18</v>
      </c>
      <c r="D16" s="33" t="s">
        <v>19</v>
      </c>
      <c r="E16" s="45">
        <v>6</v>
      </c>
      <c r="F16" s="44"/>
      <c r="G16" s="36">
        <v>6</v>
      </c>
      <c r="H16" s="37">
        <f t="shared" si="0"/>
        <v>1</v>
      </c>
      <c r="I16" s="43">
        <v>8</v>
      </c>
      <c r="J16" s="39"/>
      <c r="K16" s="39">
        <v>8</v>
      </c>
      <c r="L16" s="40">
        <f t="shared" si="1"/>
        <v>1.3333333333333333</v>
      </c>
      <c r="M16" s="39">
        <v>13</v>
      </c>
      <c r="N16" s="40">
        <f t="shared" si="2"/>
        <v>3.7142857142857144</v>
      </c>
      <c r="O16" s="34">
        <v>5</v>
      </c>
      <c r="P16" s="41">
        <f t="shared" si="3"/>
        <v>11.047619047619047</v>
      </c>
    </row>
    <row r="17" spans="2:16" ht="24.95" customHeight="1" thickBot="1">
      <c r="B17" s="32">
        <v>7</v>
      </c>
      <c r="C17" s="33" t="s">
        <v>20</v>
      </c>
      <c r="D17" s="33" t="s">
        <v>21</v>
      </c>
      <c r="E17" s="45">
        <v>7</v>
      </c>
      <c r="F17" s="42">
        <v>12</v>
      </c>
      <c r="G17" s="36">
        <v>12</v>
      </c>
      <c r="H17" s="37">
        <f t="shared" si="0"/>
        <v>2</v>
      </c>
      <c r="I17" s="43">
        <v>5</v>
      </c>
      <c r="J17" s="39"/>
      <c r="K17" s="39">
        <v>5</v>
      </c>
      <c r="L17" s="40">
        <f t="shared" si="1"/>
        <v>0.83333333333333337</v>
      </c>
      <c r="M17" s="39">
        <v>11</v>
      </c>
      <c r="N17" s="40">
        <f t="shared" si="2"/>
        <v>3.1428571428571428</v>
      </c>
      <c r="O17" s="34">
        <v>5</v>
      </c>
      <c r="P17" s="41">
        <f t="shared" si="3"/>
        <v>10.976190476190476</v>
      </c>
    </row>
    <row r="18" spans="2:16" ht="24.95" customHeight="1" thickBot="1">
      <c r="B18" s="32">
        <v>8</v>
      </c>
      <c r="C18" s="33" t="s">
        <v>22</v>
      </c>
      <c r="D18" s="33" t="s">
        <v>23</v>
      </c>
      <c r="E18" s="45">
        <v>5</v>
      </c>
      <c r="F18" s="44">
        <v>12</v>
      </c>
      <c r="G18" s="36">
        <v>12</v>
      </c>
      <c r="H18" s="37">
        <f t="shared" si="0"/>
        <v>2</v>
      </c>
      <c r="I18" s="43">
        <v>7</v>
      </c>
      <c r="J18" s="39"/>
      <c r="K18" s="39">
        <v>7</v>
      </c>
      <c r="L18" s="40">
        <f t="shared" si="1"/>
        <v>1.1666666666666667</v>
      </c>
      <c r="M18" s="39">
        <v>15</v>
      </c>
      <c r="N18" s="40">
        <f t="shared" si="2"/>
        <v>4.2857142857142856</v>
      </c>
      <c r="O18" s="34">
        <v>5</v>
      </c>
      <c r="P18" s="41">
        <f t="shared" si="3"/>
        <v>12.452380952380953</v>
      </c>
    </row>
    <row r="19" spans="2:16" ht="24.95" customHeight="1" thickBot="1">
      <c r="B19" s="32">
        <v>9</v>
      </c>
      <c r="C19" s="33" t="s">
        <v>24</v>
      </c>
      <c r="D19" s="33" t="s">
        <v>25</v>
      </c>
      <c r="E19" s="45">
        <v>1</v>
      </c>
      <c r="F19" s="44">
        <v>14</v>
      </c>
      <c r="G19" s="36">
        <v>14</v>
      </c>
      <c r="H19" s="37">
        <f t="shared" si="0"/>
        <v>2.3333333333333335</v>
      </c>
      <c r="I19" s="43">
        <v>9</v>
      </c>
      <c r="J19" s="39"/>
      <c r="K19" s="39">
        <v>9</v>
      </c>
      <c r="L19" s="40">
        <f t="shared" si="1"/>
        <v>1.5</v>
      </c>
      <c r="M19" s="39">
        <v>13</v>
      </c>
      <c r="N19" s="40">
        <f t="shared" si="2"/>
        <v>3.7142857142857144</v>
      </c>
      <c r="O19" s="34">
        <v>5</v>
      </c>
      <c r="P19" s="41">
        <f t="shared" si="3"/>
        <v>12.547619047619047</v>
      </c>
    </row>
    <row r="20" spans="2:16" ht="24.95" customHeight="1" thickBot="1">
      <c r="B20" s="32">
        <v>10</v>
      </c>
      <c r="C20" s="33" t="s">
        <v>26</v>
      </c>
      <c r="D20" s="33" t="s">
        <v>27</v>
      </c>
      <c r="E20" s="45">
        <v>5</v>
      </c>
      <c r="F20" s="44">
        <v>14</v>
      </c>
      <c r="G20" s="36">
        <v>14</v>
      </c>
      <c r="H20" s="37">
        <f t="shared" si="0"/>
        <v>2.3333333333333335</v>
      </c>
      <c r="I20" s="43">
        <v>10</v>
      </c>
      <c r="J20" s="39"/>
      <c r="K20" s="39">
        <v>10</v>
      </c>
      <c r="L20" s="40">
        <f t="shared" si="1"/>
        <v>1.6666666666666667</v>
      </c>
      <c r="M20" s="39">
        <v>24</v>
      </c>
      <c r="N20" s="40">
        <f t="shared" si="2"/>
        <v>6.8571428571428568</v>
      </c>
      <c r="O20" s="34">
        <v>5</v>
      </c>
      <c r="P20" s="41">
        <f t="shared" si="3"/>
        <v>15.857142857142858</v>
      </c>
    </row>
    <row r="21" spans="2:16" ht="24.95" customHeight="1" thickBot="1">
      <c r="B21" s="32">
        <v>11</v>
      </c>
      <c r="C21" s="33" t="s">
        <v>28</v>
      </c>
      <c r="D21" s="33" t="s">
        <v>29</v>
      </c>
      <c r="E21" s="39">
        <v>10</v>
      </c>
      <c r="F21" s="44"/>
      <c r="G21" s="36">
        <v>10</v>
      </c>
      <c r="H21" s="37">
        <f t="shared" si="0"/>
        <v>1.6666666666666667</v>
      </c>
      <c r="I21" s="43">
        <v>10</v>
      </c>
      <c r="J21" s="39"/>
      <c r="K21" s="39">
        <v>10</v>
      </c>
      <c r="L21" s="40">
        <f t="shared" si="1"/>
        <v>1.6666666666666667</v>
      </c>
      <c r="M21" s="39">
        <v>21</v>
      </c>
      <c r="N21" s="40">
        <f t="shared" si="2"/>
        <v>6</v>
      </c>
      <c r="O21" s="34">
        <v>5</v>
      </c>
      <c r="P21" s="41">
        <f t="shared" si="3"/>
        <v>14.333333333333334</v>
      </c>
    </row>
    <row r="22" spans="2:16" ht="24.95" customHeight="1" thickBot="1">
      <c r="B22" s="32">
        <v>12</v>
      </c>
      <c r="C22" s="33" t="s">
        <v>30</v>
      </c>
      <c r="D22" s="33" t="s">
        <v>31</v>
      </c>
      <c r="E22" s="39">
        <v>11</v>
      </c>
      <c r="F22" s="42"/>
      <c r="G22" s="36">
        <v>11</v>
      </c>
      <c r="H22" s="37">
        <f t="shared" si="0"/>
        <v>1.8333333333333333</v>
      </c>
      <c r="I22" s="43">
        <v>8</v>
      </c>
      <c r="J22" s="39"/>
      <c r="K22" s="39">
        <v>10</v>
      </c>
      <c r="L22" s="40">
        <f t="shared" si="1"/>
        <v>1.6666666666666667</v>
      </c>
      <c r="M22" s="39">
        <v>20</v>
      </c>
      <c r="N22" s="40">
        <f t="shared" si="2"/>
        <v>5.7142857142857144</v>
      </c>
      <c r="O22" s="34">
        <v>5</v>
      </c>
      <c r="P22" s="41">
        <f t="shared" si="3"/>
        <v>14.214285714285715</v>
      </c>
    </row>
    <row r="23" spans="2:16" ht="24.95" customHeight="1" thickBot="1">
      <c r="B23" s="32">
        <v>13</v>
      </c>
      <c r="C23" s="33" t="s">
        <v>32</v>
      </c>
      <c r="D23" s="33" t="s">
        <v>33</v>
      </c>
      <c r="E23" s="39">
        <v>7</v>
      </c>
      <c r="F23" s="44">
        <v>14</v>
      </c>
      <c r="G23" s="36">
        <v>14</v>
      </c>
      <c r="H23" s="37">
        <f t="shared" si="0"/>
        <v>2.3333333333333335</v>
      </c>
      <c r="I23" s="43">
        <v>8</v>
      </c>
      <c r="J23" s="39"/>
      <c r="K23" s="39">
        <v>8</v>
      </c>
      <c r="L23" s="40">
        <f t="shared" si="1"/>
        <v>1.3333333333333333</v>
      </c>
      <c r="M23" s="39">
        <v>17</v>
      </c>
      <c r="N23" s="40">
        <f t="shared" si="2"/>
        <v>4.8571428571428568</v>
      </c>
      <c r="O23" s="34">
        <v>5</v>
      </c>
      <c r="P23" s="41">
        <f t="shared" si="3"/>
        <v>13.523809523809524</v>
      </c>
    </row>
    <row r="24" spans="2:16" ht="24.95" customHeight="1" thickBot="1">
      <c r="B24" s="32">
        <v>14</v>
      </c>
      <c r="C24" s="33" t="s">
        <v>34</v>
      </c>
      <c r="D24" s="33" t="s">
        <v>35</v>
      </c>
      <c r="E24" s="39">
        <v>10</v>
      </c>
      <c r="F24" s="44">
        <v>11</v>
      </c>
      <c r="G24" s="36">
        <v>11</v>
      </c>
      <c r="H24" s="37">
        <f t="shared" si="0"/>
        <v>1.8333333333333333</v>
      </c>
      <c r="I24" s="43">
        <v>9</v>
      </c>
      <c r="J24" s="39"/>
      <c r="K24" s="39">
        <v>9</v>
      </c>
      <c r="L24" s="40">
        <f t="shared" si="1"/>
        <v>1.5</v>
      </c>
      <c r="M24" s="39">
        <v>23</v>
      </c>
      <c r="N24" s="40">
        <f t="shared" si="2"/>
        <v>6.5714285714285712</v>
      </c>
      <c r="O24" s="34">
        <v>5</v>
      </c>
      <c r="P24" s="41">
        <f t="shared" si="3"/>
        <v>14.904761904761905</v>
      </c>
    </row>
    <row r="25" spans="2:16" ht="24.95" customHeight="1" thickBot="1">
      <c r="B25" s="32">
        <v>15</v>
      </c>
      <c r="C25" s="33" t="s">
        <v>36</v>
      </c>
      <c r="D25" s="33" t="s">
        <v>37</v>
      </c>
      <c r="E25" s="39">
        <v>10</v>
      </c>
      <c r="F25" s="44"/>
      <c r="G25" s="36">
        <v>10</v>
      </c>
      <c r="H25" s="37">
        <f t="shared" si="0"/>
        <v>1.6666666666666667</v>
      </c>
      <c r="I25" s="43">
        <v>9</v>
      </c>
      <c r="J25" s="39"/>
      <c r="K25" s="39">
        <v>9</v>
      </c>
      <c r="L25" s="40">
        <f t="shared" si="1"/>
        <v>1.5</v>
      </c>
      <c r="M25" s="39">
        <v>16</v>
      </c>
      <c r="N25" s="40">
        <f t="shared" si="2"/>
        <v>4.5714285714285712</v>
      </c>
      <c r="O25" s="34">
        <v>5</v>
      </c>
      <c r="P25" s="41">
        <f t="shared" si="3"/>
        <v>12.738095238095237</v>
      </c>
    </row>
    <row r="26" spans="2:16" ht="24.95" customHeight="1" thickBot="1">
      <c r="B26" s="32">
        <v>16</v>
      </c>
      <c r="C26" s="33" t="s">
        <v>38</v>
      </c>
      <c r="D26" s="33" t="s">
        <v>39</v>
      </c>
      <c r="E26" s="39">
        <v>9</v>
      </c>
      <c r="F26" s="42"/>
      <c r="G26" s="36">
        <v>9</v>
      </c>
      <c r="H26" s="37">
        <f t="shared" si="0"/>
        <v>1.5</v>
      </c>
      <c r="I26" s="43">
        <v>12</v>
      </c>
      <c r="J26" s="39"/>
      <c r="K26" s="39">
        <v>12</v>
      </c>
      <c r="L26" s="40">
        <f t="shared" si="1"/>
        <v>2</v>
      </c>
      <c r="M26" s="39">
        <v>23</v>
      </c>
      <c r="N26" s="40">
        <f t="shared" si="2"/>
        <v>6.5714285714285712</v>
      </c>
      <c r="O26" s="34">
        <v>5</v>
      </c>
      <c r="P26" s="41">
        <f t="shared" si="3"/>
        <v>15.071428571428571</v>
      </c>
    </row>
    <row r="27" spans="2:16" ht="24.95" customHeight="1" thickBot="1">
      <c r="B27" s="32">
        <v>17</v>
      </c>
      <c r="C27" s="33" t="s">
        <v>40</v>
      </c>
      <c r="D27" s="33" t="s">
        <v>41</v>
      </c>
      <c r="E27" s="39">
        <v>14</v>
      </c>
      <c r="F27" s="42"/>
      <c r="G27" s="36">
        <v>14</v>
      </c>
      <c r="H27" s="37">
        <f t="shared" si="0"/>
        <v>2.3333333333333335</v>
      </c>
      <c r="I27" s="43">
        <v>5</v>
      </c>
      <c r="J27" s="39"/>
      <c r="K27" s="39">
        <v>5</v>
      </c>
      <c r="L27" s="40">
        <f t="shared" si="1"/>
        <v>0.83333333333333337</v>
      </c>
      <c r="M27" s="39">
        <v>18</v>
      </c>
      <c r="N27" s="40">
        <f t="shared" si="2"/>
        <v>5.1428571428571432</v>
      </c>
      <c r="O27" s="34">
        <v>5</v>
      </c>
      <c r="P27" s="41">
        <f t="shared" si="3"/>
        <v>13.30952380952381</v>
      </c>
    </row>
    <row r="28" spans="2:16" ht="24.95" customHeight="1" thickBot="1">
      <c r="B28" s="32">
        <v>18</v>
      </c>
      <c r="C28" s="33" t="s">
        <v>42</v>
      </c>
      <c r="D28" s="33" t="s">
        <v>43</v>
      </c>
      <c r="E28" s="39">
        <v>8</v>
      </c>
      <c r="F28" s="44"/>
      <c r="G28" s="36">
        <v>8</v>
      </c>
      <c r="H28" s="37">
        <f t="shared" si="0"/>
        <v>1.3333333333333333</v>
      </c>
      <c r="I28" s="43">
        <v>9</v>
      </c>
      <c r="J28" s="39"/>
      <c r="K28" s="39">
        <v>9</v>
      </c>
      <c r="L28" s="40">
        <f t="shared" si="1"/>
        <v>1.5</v>
      </c>
      <c r="M28" s="39">
        <v>24</v>
      </c>
      <c r="N28" s="40">
        <f t="shared" si="2"/>
        <v>6.8571428571428568</v>
      </c>
      <c r="O28" s="34">
        <v>5</v>
      </c>
      <c r="P28" s="41">
        <f t="shared" si="3"/>
        <v>14.69047619047619</v>
      </c>
    </row>
    <row r="29" spans="2:16" ht="24.95" customHeight="1" thickBot="1">
      <c r="B29" s="32">
        <v>19</v>
      </c>
      <c r="C29" s="33" t="s">
        <v>44</v>
      </c>
      <c r="D29" s="33" t="s">
        <v>45</v>
      </c>
      <c r="E29" s="45">
        <v>2</v>
      </c>
      <c r="F29" s="42">
        <v>10</v>
      </c>
      <c r="G29" s="36">
        <v>10</v>
      </c>
      <c r="H29" s="37">
        <f t="shared" si="0"/>
        <v>1.6666666666666667</v>
      </c>
      <c r="I29" s="43">
        <v>6</v>
      </c>
      <c r="J29" s="39">
        <v>8</v>
      </c>
      <c r="K29" s="39">
        <v>8</v>
      </c>
      <c r="L29" s="40">
        <f t="shared" si="1"/>
        <v>1.3333333333333333</v>
      </c>
      <c r="M29" s="39">
        <v>12</v>
      </c>
      <c r="N29" s="40">
        <f t="shared" si="2"/>
        <v>3.4285714285714284</v>
      </c>
      <c r="O29" s="34">
        <v>5</v>
      </c>
      <c r="P29" s="41">
        <f t="shared" si="3"/>
        <v>11.428571428571429</v>
      </c>
    </row>
    <row r="30" spans="2:16" ht="24.95" customHeight="1" thickBot="1">
      <c r="B30" s="32">
        <v>20</v>
      </c>
      <c r="C30" s="33" t="s">
        <v>46</v>
      </c>
      <c r="D30" s="33" t="s">
        <v>47</v>
      </c>
      <c r="E30" s="45">
        <v>4</v>
      </c>
      <c r="F30" s="44">
        <v>14</v>
      </c>
      <c r="G30" s="36">
        <v>14</v>
      </c>
      <c r="H30" s="37">
        <f t="shared" si="0"/>
        <v>2.3333333333333335</v>
      </c>
      <c r="I30" s="43">
        <v>10</v>
      </c>
      <c r="J30" s="39"/>
      <c r="K30" s="39">
        <v>10</v>
      </c>
      <c r="L30" s="40">
        <f t="shared" si="1"/>
        <v>1.6666666666666667</v>
      </c>
      <c r="M30" s="39">
        <v>17</v>
      </c>
      <c r="N30" s="40">
        <f t="shared" si="2"/>
        <v>4.8571428571428568</v>
      </c>
      <c r="O30" s="34">
        <v>5</v>
      </c>
      <c r="P30" s="41">
        <f t="shared" si="3"/>
        <v>13.857142857142858</v>
      </c>
    </row>
    <row r="31" spans="2:16" ht="24.95" customHeight="1" thickBot="1">
      <c r="B31" s="32">
        <v>21</v>
      </c>
      <c r="C31" s="33" t="s">
        <v>48</v>
      </c>
      <c r="D31" s="46" t="s">
        <v>49</v>
      </c>
      <c r="E31" s="47">
        <v>5</v>
      </c>
      <c r="F31" s="48">
        <v>10</v>
      </c>
      <c r="G31" s="49">
        <v>10</v>
      </c>
      <c r="H31" s="50">
        <f t="shared" si="0"/>
        <v>1.6666666666666667</v>
      </c>
      <c r="I31" s="51"/>
      <c r="J31" s="47"/>
      <c r="K31" s="47">
        <v>7</v>
      </c>
      <c r="L31" s="52">
        <f t="shared" si="1"/>
        <v>1.1666666666666667</v>
      </c>
      <c r="M31" s="47">
        <v>13</v>
      </c>
      <c r="N31" s="52">
        <f t="shared" si="2"/>
        <v>3.7142857142857144</v>
      </c>
      <c r="O31" s="47">
        <v>3</v>
      </c>
      <c r="P31" s="53">
        <f t="shared" si="3"/>
        <v>9.5476190476190474</v>
      </c>
    </row>
    <row r="32" spans="2:16" ht="24.95" customHeight="1" thickBot="1">
      <c r="B32" s="32">
        <v>22</v>
      </c>
      <c r="C32" s="33" t="s">
        <v>50</v>
      </c>
      <c r="D32" s="33" t="s">
        <v>51</v>
      </c>
      <c r="E32" s="45">
        <v>3</v>
      </c>
      <c r="F32" s="44">
        <v>11</v>
      </c>
      <c r="G32" s="36">
        <v>11</v>
      </c>
      <c r="H32" s="37">
        <f t="shared" si="0"/>
        <v>1.8333333333333333</v>
      </c>
      <c r="I32" s="43">
        <v>6</v>
      </c>
      <c r="J32" s="39">
        <v>8</v>
      </c>
      <c r="K32" s="39">
        <v>8</v>
      </c>
      <c r="L32" s="40">
        <f t="shared" si="1"/>
        <v>1.3333333333333333</v>
      </c>
      <c r="M32" s="39">
        <v>6</v>
      </c>
      <c r="N32" s="40">
        <f t="shared" si="2"/>
        <v>1.7142857142857142</v>
      </c>
      <c r="O32" s="34">
        <v>5</v>
      </c>
      <c r="P32" s="41">
        <f t="shared" si="3"/>
        <v>9.8809523809523796</v>
      </c>
    </row>
    <row r="33" spans="2:16" ht="24.95" customHeight="1" thickBot="1">
      <c r="B33" s="32">
        <v>23</v>
      </c>
      <c r="C33" s="33" t="s">
        <v>52</v>
      </c>
      <c r="D33" s="33" t="s">
        <v>53</v>
      </c>
      <c r="E33" s="45">
        <v>10</v>
      </c>
      <c r="F33" s="44">
        <v>10</v>
      </c>
      <c r="G33" s="36">
        <v>10</v>
      </c>
      <c r="H33" s="37">
        <f t="shared" si="0"/>
        <v>1.6666666666666667</v>
      </c>
      <c r="I33" s="43">
        <v>9</v>
      </c>
      <c r="J33" s="39"/>
      <c r="K33" s="39">
        <v>9</v>
      </c>
      <c r="L33" s="40">
        <f t="shared" si="1"/>
        <v>1.5</v>
      </c>
      <c r="M33" s="39">
        <v>13</v>
      </c>
      <c r="N33" s="40">
        <f t="shared" si="2"/>
        <v>3.7142857142857144</v>
      </c>
      <c r="O33" s="34">
        <v>5</v>
      </c>
      <c r="P33" s="41">
        <f t="shared" si="3"/>
        <v>11.880952380952381</v>
      </c>
    </row>
    <row r="34" spans="2:16" ht="24.95" customHeight="1" thickBot="1">
      <c r="B34" s="32">
        <v>24</v>
      </c>
      <c r="C34" s="33" t="s">
        <v>54</v>
      </c>
      <c r="D34" s="46" t="s">
        <v>55</v>
      </c>
      <c r="E34" s="47">
        <v>10</v>
      </c>
      <c r="F34" s="48"/>
      <c r="G34" s="49">
        <v>10</v>
      </c>
      <c r="H34" s="50">
        <f t="shared" si="0"/>
        <v>1.6666666666666667</v>
      </c>
      <c r="I34" s="51">
        <v>9</v>
      </c>
      <c r="J34" s="47"/>
      <c r="K34" s="47">
        <v>9</v>
      </c>
      <c r="L34" s="52">
        <f t="shared" si="1"/>
        <v>1.5</v>
      </c>
      <c r="M34" s="47">
        <v>23</v>
      </c>
      <c r="N34" s="52">
        <f t="shared" si="2"/>
        <v>6.5714285714285712</v>
      </c>
      <c r="O34" s="47">
        <v>3</v>
      </c>
      <c r="P34" s="53">
        <f t="shared" si="3"/>
        <v>12.738095238095237</v>
      </c>
    </row>
    <row r="35" spans="2:16" ht="24.95" customHeight="1" thickBot="1">
      <c r="B35" s="32">
        <v>25</v>
      </c>
      <c r="C35" s="33" t="s">
        <v>56</v>
      </c>
      <c r="D35" s="33" t="s">
        <v>57</v>
      </c>
      <c r="E35" s="45">
        <v>10</v>
      </c>
      <c r="F35" s="44"/>
      <c r="G35" s="36">
        <v>10</v>
      </c>
      <c r="H35" s="37">
        <f t="shared" si="0"/>
        <v>1.6666666666666667</v>
      </c>
      <c r="I35" s="43">
        <v>8</v>
      </c>
      <c r="J35" s="39"/>
      <c r="K35" s="39">
        <v>8</v>
      </c>
      <c r="L35" s="40">
        <f t="shared" si="1"/>
        <v>1.3333333333333333</v>
      </c>
      <c r="M35" s="39">
        <v>16</v>
      </c>
      <c r="N35" s="40">
        <f t="shared" si="2"/>
        <v>4.5714285714285712</v>
      </c>
      <c r="O35" s="34">
        <v>5</v>
      </c>
      <c r="P35" s="41">
        <f t="shared" si="3"/>
        <v>12.571428571428571</v>
      </c>
    </row>
    <row r="36" spans="2:16" ht="24.95" customHeight="1" thickBot="1">
      <c r="B36" s="32">
        <v>26</v>
      </c>
      <c r="C36" s="33" t="s">
        <v>58</v>
      </c>
      <c r="D36" s="33" t="s">
        <v>59</v>
      </c>
      <c r="E36" s="45">
        <v>9</v>
      </c>
      <c r="F36" s="44"/>
      <c r="G36" s="36">
        <v>9</v>
      </c>
      <c r="H36" s="37">
        <f t="shared" si="0"/>
        <v>1.5</v>
      </c>
      <c r="I36" s="43">
        <v>8</v>
      </c>
      <c r="J36" s="39"/>
      <c r="K36" s="39">
        <v>8</v>
      </c>
      <c r="L36" s="40">
        <f t="shared" si="1"/>
        <v>1.3333333333333333</v>
      </c>
      <c r="M36" s="39">
        <v>8</v>
      </c>
      <c r="N36" s="40">
        <f t="shared" si="2"/>
        <v>2.2857142857142856</v>
      </c>
      <c r="O36" s="34">
        <v>5</v>
      </c>
      <c r="P36" s="41">
        <f t="shared" si="3"/>
        <v>10.119047619047619</v>
      </c>
    </row>
    <row r="37" spans="2:16" ht="24.95" customHeight="1" thickBot="1">
      <c r="B37" s="32">
        <v>27</v>
      </c>
      <c r="C37" s="33" t="s">
        <v>60</v>
      </c>
      <c r="D37" s="33" t="s">
        <v>61</v>
      </c>
      <c r="E37" s="45">
        <v>5</v>
      </c>
      <c r="F37" s="44">
        <v>9</v>
      </c>
      <c r="G37" s="36">
        <v>9</v>
      </c>
      <c r="H37" s="37">
        <f t="shared" si="0"/>
        <v>1.5</v>
      </c>
      <c r="I37" s="43">
        <v>8</v>
      </c>
      <c r="J37" s="39"/>
      <c r="K37" s="39">
        <v>8</v>
      </c>
      <c r="L37" s="40">
        <f t="shared" si="1"/>
        <v>1.3333333333333333</v>
      </c>
      <c r="M37" s="39">
        <v>17</v>
      </c>
      <c r="N37" s="40">
        <f t="shared" si="2"/>
        <v>4.8571428571428568</v>
      </c>
      <c r="O37" s="34">
        <v>5</v>
      </c>
      <c r="P37" s="41">
        <f t="shared" si="3"/>
        <v>12.69047619047619</v>
      </c>
    </row>
    <row r="38" spans="2:16" ht="24.95" customHeight="1" thickBot="1">
      <c r="B38" s="32">
        <v>28</v>
      </c>
      <c r="C38" s="33" t="s">
        <v>62</v>
      </c>
      <c r="D38" s="46" t="s">
        <v>63</v>
      </c>
      <c r="E38" s="54"/>
      <c r="F38" s="48">
        <v>7</v>
      </c>
      <c r="G38" s="49">
        <v>7</v>
      </c>
      <c r="H38" s="50">
        <f t="shared" si="0"/>
        <v>1.1666666666666667</v>
      </c>
      <c r="I38" s="51">
        <v>4</v>
      </c>
      <c r="J38" s="47"/>
      <c r="K38" s="47">
        <v>4</v>
      </c>
      <c r="L38" s="52">
        <f t="shared" si="1"/>
        <v>0.66666666666666663</v>
      </c>
      <c r="M38" s="47">
        <v>13</v>
      </c>
      <c r="N38" s="52">
        <f t="shared" si="2"/>
        <v>3.7142857142857144</v>
      </c>
      <c r="O38" s="47">
        <v>3</v>
      </c>
      <c r="P38" s="53">
        <f t="shared" si="3"/>
        <v>8.5476190476190474</v>
      </c>
    </row>
    <row r="39" spans="2:16" ht="24.95" customHeight="1" thickBot="1">
      <c r="B39" s="32">
        <v>29</v>
      </c>
      <c r="C39" s="33" t="s">
        <v>64</v>
      </c>
      <c r="D39" s="33" t="s">
        <v>65</v>
      </c>
      <c r="E39" s="55"/>
      <c r="F39" s="44">
        <v>9</v>
      </c>
      <c r="G39" s="36">
        <v>9</v>
      </c>
      <c r="H39" s="37">
        <f t="shared" si="0"/>
        <v>1.5</v>
      </c>
      <c r="I39" s="43">
        <v>8</v>
      </c>
      <c r="J39" s="39"/>
      <c r="K39" s="39">
        <v>8</v>
      </c>
      <c r="L39" s="40">
        <f t="shared" si="1"/>
        <v>1.3333333333333333</v>
      </c>
      <c r="M39" s="39">
        <v>1</v>
      </c>
      <c r="N39" s="40">
        <f t="shared" si="2"/>
        <v>0.2857142857142857</v>
      </c>
      <c r="O39" s="34">
        <v>5</v>
      </c>
      <c r="P39" s="41">
        <f t="shared" si="3"/>
        <v>8.1190476190476186</v>
      </c>
    </row>
    <row r="40" spans="2:16" ht="24.95" customHeight="1" thickBot="1">
      <c r="B40" s="32">
        <v>30</v>
      </c>
      <c r="C40" s="33" t="s">
        <v>66</v>
      </c>
      <c r="D40" s="33" t="s">
        <v>67</v>
      </c>
      <c r="E40" s="45">
        <v>7</v>
      </c>
      <c r="F40" s="44">
        <v>11</v>
      </c>
      <c r="G40" s="36">
        <v>11</v>
      </c>
      <c r="H40" s="37">
        <f t="shared" si="0"/>
        <v>1.8333333333333333</v>
      </c>
      <c r="I40" s="43">
        <v>10</v>
      </c>
      <c r="J40" s="39"/>
      <c r="K40" s="39">
        <v>10</v>
      </c>
      <c r="L40" s="40">
        <f t="shared" si="1"/>
        <v>1.6666666666666667</v>
      </c>
      <c r="M40" s="39">
        <v>20</v>
      </c>
      <c r="N40" s="40">
        <f t="shared" si="2"/>
        <v>5.7142857142857144</v>
      </c>
      <c r="O40" s="34">
        <v>5</v>
      </c>
      <c r="P40" s="41">
        <f t="shared" si="3"/>
        <v>14.214285714285715</v>
      </c>
    </row>
    <row r="41" spans="2:16" ht="24.95" customHeight="1" thickBot="1">
      <c r="B41" s="32">
        <v>31</v>
      </c>
      <c r="C41" s="33" t="s">
        <v>68</v>
      </c>
      <c r="D41" s="33" t="s">
        <v>69</v>
      </c>
      <c r="E41" s="55"/>
      <c r="F41" s="44">
        <v>13</v>
      </c>
      <c r="G41" s="36">
        <v>13</v>
      </c>
      <c r="H41" s="37">
        <f t="shared" si="0"/>
        <v>2.1666666666666665</v>
      </c>
      <c r="I41" s="43"/>
      <c r="J41" s="39">
        <v>5</v>
      </c>
      <c r="K41" s="39">
        <v>5</v>
      </c>
      <c r="L41" s="40">
        <f t="shared" si="1"/>
        <v>0.83333333333333337</v>
      </c>
      <c r="M41" s="39">
        <v>8</v>
      </c>
      <c r="N41" s="40">
        <f t="shared" si="2"/>
        <v>2.2857142857142856</v>
      </c>
      <c r="O41" s="34">
        <v>5</v>
      </c>
      <c r="P41" s="41">
        <f t="shared" si="3"/>
        <v>10.285714285714285</v>
      </c>
    </row>
    <row r="42" spans="2:16" ht="24.95" customHeight="1" thickBot="1">
      <c r="B42" s="32">
        <v>32</v>
      </c>
      <c r="C42" s="33" t="s">
        <v>70</v>
      </c>
      <c r="D42" s="33" t="s">
        <v>71</v>
      </c>
      <c r="E42" s="45">
        <v>6</v>
      </c>
      <c r="F42" s="44">
        <v>11</v>
      </c>
      <c r="G42" s="36">
        <v>11</v>
      </c>
      <c r="H42" s="37">
        <f t="shared" si="0"/>
        <v>1.8333333333333333</v>
      </c>
      <c r="I42" s="43">
        <v>5</v>
      </c>
      <c r="J42" s="39"/>
      <c r="K42" s="39">
        <v>5</v>
      </c>
      <c r="L42" s="40">
        <f t="shared" si="1"/>
        <v>0.83333333333333337</v>
      </c>
      <c r="M42" s="39">
        <v>21</v>
      </c>
      <c r="N42" s="40">
        <f t="shared" si="2"/>
        <v>6</v>
      </c>
      <c r="O42" s="34">
        <v>5</v>
      </c>
      <c r="P42" s="41">
        <f t="shared" si="3"/>
        <v>13.666666666666666</v>
      </c>
    </row>
    <row r="43" spans="2:16" ht="24.95" customHeight="1" thickBot="1">
      <c r="B43" s="32">
        <v>33</v>
      </c>
      <c r="C43" s="33" t="s">
        <v>72</v>
      </c>
      <c r="D43" s="33" t="s">
        <v>73</v>
      </c>
      <c r="E43" s="45">
        <v>7</v>
      </c>
      <c r="F43" s="44">
        <v>14</v>
      </c>
      <c r="G43" s="36">
        <v>14</v>
      </c>
      <c r="H43" s="37">
        <f t="shared" si="0"/>
        <v>2.3333333333333335</v>
      </c>
      <c r="I43" s="43">
        <v>8</v>
      </c>
      <c r="J43" s="39"/>
      <c r="K43" s="39">
        <v>8</v>
      </c>
      <c r="L43" s="40">
        <f t="shared" si="1"/>
        <v>1.3333333333333333</v>
      </c>
      <c r="M43" s="39">
        <v>17</v>
      </c>
      <c r="N43" s="40">
        <f t="shared" si="2"/>
        <v>4.8571428571428568</v>
      </c>
      <c r="O43" s="34">
        <v>5</v>
      </c>
      <c r="P43" s="41">
        <f t="shared" si="3"/>
        <v>13.523809523809524</v>
      </c>
    </row>
    <row r="44" spans="2:16" ht="24.95" customHeight="1" thickBot="1">
      <c r="B44" s="32">
        <v>34</v>
      </c>
      <c r="C44" s="33" t="s">
        <v>74</v>
      </c>
      <c r="D44" s="33" t="s">
        <v>75</v>
      </c>
      <c r="E44" s="45">
        <v>4</v>
      </c>
      <c r="F44" s="44">
        <v>12</v>
      </c>
      <c r="G44" s="36">
        <v>12</v>
      </c>
      <c r="H44" s="37">
        <f t="shared" si="0"/>
        <v>2</v>
      </c>
      <c r="I44" s="43">
        <v>8</v>
      </c>
      <c r="J44" s="39"/>
      <c r="K44" s="39">
        <v>8</v>
      </c>
      <c r="L44" s="40">
        <f t="shared" si="1"/>
        <v>1.3333333333333333</v>
      </c>
      <c r="M44" s="39">
        <v>18</v>
      </c>
      <c r="N44" s="40">
        <f t="shared" si="2"/>
        <v>5.1428571428571432</v>
      </c>
      <c r="O44" s="34">
        <v>5</v>
      </c>
      <c r="P44" s="41">
        <f t="shared" si="3"/>
        <v>13.476190476190476</v>
      </c>
    </row>
    <row r="45" spans="2:16" ht="24.95" customHeight="1" thickBot="1">
      <c r="B45" s="32">
        <v>35</v>
      </c>
      <c r="C45" s="33" t="s">
        <v>76</v>
      </c>
      <c r="D45" s="33" t="s">
        <v>77</v>
      </c>
      <c r="E45" s="45">
        <v>4</v>
      </c>
      <c r="F45" s="44">
        <v>12</v>
      </c>
      <c r="G45" s="36">
        <v>12</v>
      </c>
      <c r="H45" s="37">
        <f t="shared" si="0"/>
        <v>2</v>
      </c>
      <c r="I45" s="43">
        <v>9</v>
      </c>
      <c r="J45" s="39"/>
      <c r="K45" s="39">
        <v>9</v>
      </c>
      <c r="L45" s="40">
        <f t="shared" si="1"/>
        <v>1.5</v>
      </c>
      <c r="M45" s="39">
        <v>13</v>
      </c>
      <c r="N45" s="40">
        <f t="shared" si="2"/>
        <v>3.7142857142857144</v>
      </c>
      <c r="O45" s="47">
        <v>3</v>
      </c>
      <c r="P45" s="53">
        <f t="shared" si="3"/>
        <v>10.214285714285715</v>
      </c>
    </row>
    <row r="46" spans="2:16" ht="24.95" customHeight="1" thickBot="1">
      <c r="B46" s="32">
        <v>36</v>
      </c>
      <c r="C46" s="33" t="s">
        <v>78</v>
      </c>
      <c r="D46" s="33" t="s">
        <v>79</v>
      </c>
      <c r="E46" s="45">
        <v>4</v>
      </c>
      <c r="F46" s="56">
        <v>12</v>
      </c>
      <c r="G46" s="36">
        <v>12</v>
      </c>
      <c r="H46" s="37">
        <f t="shared" si="0"/>
        <v>2</v>
      </c>
      <c r="I46" s="43">
        <v>4</v>
      </c>
      <c r="J46" s="39">
        <v>5</v>
      </c>
      <c r="K46" s="39">
        <v>5</v>
      </c>
      <c r="L46" s="40">
        <f t="shared" si="1"/>
        <v>0.83333333333333337</v>
      </c>
      <c r="M46" s="39">
        <v>10</v>
      </c>
      <c r="N46" s="40">
        <f t="shared" si="2"/>
        <v>2.8571428571428572</v>
      </c>
      <c r="O46" s="47">
        <v>3</v>
      </c>
      <c r="P46" s="53">
        <f t="shared" si="3"/>
        <v>8.6904761904761898</v>
      </c>
    </row>
    <row r="47" spans="2:16" ht="24.95" customHeight="1" thickBot="1">
      <c r="B47" s="32">
        <v>37</v>
      </c>
      <c r="C47" s="33" t="s">
        <v>80</v>
      </c>
      <c r="D47" s="33" t="s">
        <v>81</v>
      </c>
      <c r="E47" s="57">
        <v>9</v>
      </c>
      <c r="F47" s="58"/>
      <c r="G47" s="36">
        <v>9</v>
      </c>
      <c r="H47" s="37">
        <f t="shared" si="0"/>
        <v>1.5</v>
      </c>
      <c r="I47" s="43">
        <v>5</v>
      </c>
      <c r="J47" s="39">
        <v>7</v>
      </c>
      <c r="K47" s="39">
        <v>7</v>
      </c>
      <c r="L47" s="40">
        <f t="shared" si="1"/>
        <v>1.1666666666666667</v>
      </c>
      <c r="M47" s="39">
        <v>16</v>
      </c>
      <c r="N47" s="40">
        <f t="shared" si="2"/>
        <v>4.5714285714285712</v>
      </c>
      <c r="O47" s="34">
        <v>5</v>
      </c>
      <c r="P47" s="41">
        <f t="shared" si="3"/>
        <v>12.238095238095237</v>
      </c>
    </row>
    <row r="48" spans="2:16" ht="24.95" customHeight="1" thickBot="1">
      <c r="B48" s="32">
        <v>38</v>
      </c>
      <c r="C48" s="33" t="s">
        <v>82</v>
      </c>
      <c r="D48" s="33" t="s">
        <v>83</v>
      </c>
      <c r="E48" s="57">
        <v>9</v>
      </c>
      <c r="F48" s="58"/>
      <c r="G48" s="36">
        <v>9</v>
      </c>
      <c r="H48" s="37">
        <f t="shared" si="0"/>
        <v>1.5</v>
      </c>
      <c r="I48" s="43">
        <v>9</v>
      </c>
      <c r="J48" s="39"/>
      <c r="K48" s="39">
        <v>9</v>
      </c>
      <c r="L48" s="40">
        <f t="shared" si="1"/>
        <v>1.5</v>
      </c>
      <c r="M48" s="39">
        <v>19</v>
      </c>
      <c r="N48" s="40">
        <f t="shared" si="2"/>
        <v>5.4285714285714288</v>
      </c>
      <c r="O48" s="34">
        <v>5</v>
      </c>
      <c r="P48" s="41">
        <f t="shared" si="3"/>
        <v>13.428571428571429</v>
      </c>
    </row>
    <row r="49" spans="2:16" ht="24.95" customHeight="1" thickBot="1">
      <c r="B49" s="32">
        <v>39</v>
      </c>
      <c r="C49" s="46" t="s">
        <v>84</v>
      </c>
      <c r="D49" s="46" t="s">
        <v>85</v>
      </c>
      <c r="E49" s="59"/>
      <c r="F49" s="60">
        <v>7</v>
      </c>
      <c r="G49" s="49">
        <v>7</v>
      </c>
      <c r="H49" s="50">
        <v>1</v>
      </c>
      <c r="I49" s="51"/>
      <c r="J49" s="47">
        <v>7</v>
      </c>
      <c r="K49" s="47">
        <v>7</v>
      </c>
      <c r="L49" s="52">
        <f t="shared" si="1"/>
        <v>1.1666666666666667</v>
      </c>
      <c r="M49" s="47">
        <v>8</v>
      </c>
      <c r="N49" s="52">
        <f t="shared" si="2"/>
        <v>2.2857142857142856</v>
      </c>
      <c r="O49" s="47">
        <v>3</v>
      </c>
      <c r="P49" s="53">
        <f t="shared" si="3"/>
        <v>7.4523809523809526</v>
      </c>
    </row>
    <row r="50" spans="2:16" ht="24.95" customHeight="1" thickBot="1">
      <c r="B50" s="32">
        <v>40</v>
      </c>
      <c r="C50" s="33" t="s">
        <v>86</v>
      </c>
      <c r="D50" s="33" t="s">
        <v>87</v>
      </c>
      <c r="E50" s="57">
        <v>0</v>
      </c>
      <c r="F50" s="58">
        <v>12</v>
      </c>
      <c r="G50" s="36">
        <v>12</v>
      </c>
      <c r="H50" s="37">
        <f t="shared" si="0"/>
        <v>2</v>
      </c>
      <c r="I50" s="43">
        <v>4</v>
      </c>
      <c r="J50" s="39">
        <v>5</v>
      </c>
      <c r="K50" s="39">
        <v>5</v>
      </c>
      <c r="L50" s="40">
        <f t="shared" si="1"/>
        <v>0.83333333333333337</v>
      </c>
      <c r="M50" s="39">
        <v>6</v>
      </c>
      <c r="N50" s="40">
        <f t="shared" si="2"/>
        <v>1.7142857142857142</v>
      </c>
      <c r="O50" s="47">
        <v>3</v>
      </c>
      <c r="P50" s="53">
        <f t="shared" si="3"/>
        <v>7.5476190476190474</v>
      </c>
    </row>
    <row r="51" spans="2:16" ht="24.95" customHeight="1" thickBot="1">
      <c r="B51" s="32">
        <v>41</v>
      </c>
      <c r="C51" s="33" t="s">
        <v>88</v>
      </c>
      <c r="D51" s="33" t="s">
        <v>89</v>
      </c>
      <c r="E51" s="57">
        <v>4</v>
      </c>
      <c r="F51" s="58">
        <v>11</v>
      </c>
      <c r="G51" s="36">
        <v>11</v>
      </c>
      <c r="H51" s="37">
        <f t="shared" si="0"/>
        <v>1.8333333333333333</v>
      </c>
      <c r="I51" s="43">
        <v>4</v>
      </c>
      <c r="J51" s="39">
        <v>8</v>
      </c>
      <c r="K51" s="39">
        <v>8</v>
      </c>
      <c r="L51" s="40">
        <f t="shared" si="1"/>
        <v>1.3333333333333333</v>
      </c>
      <c r="M51" s="39">
        <v>11</v>
      </c>
      <c r="N51" s="40">
        <f t="shared" si="2"/>
        <v>3.1428571428571428</v>
      </c>
      <c r="O51" s="34">
        <v>5</v>
      </c>
      <c r="P51" s="41">
        <f t="shared" si="3"/>
        <v>11.30952380952381</v>
      </c>
    </row>
    <row r="52" spans="2:16" ht="24.95" customHeight="1" thickBot="1">
      <c r="B52" s="32">
        <v>42</v>
      </c>
      <c r="C52" s="33" t="s">
        <v>90</v>
      </c>
      <c r="D52" s="33" t="s">
        <v>91</v>
      </c>
      <c r="E52" s="57">
        <v>6</v>
      </c>
      <c r="F52" s="58">
        <v>9</v>
      </c>
      <c r="G52" s="36">
        <v>9</v>
      </c>
      <c r="H52" s="37">
        <f t="shared" si="0"/>
        <v>1.5</v>
      </c>
      <c r="I52" s="43">
        <v>4</v>
      </c>
      <c r="J52" s="39">
        <v>8</v>
      </c>
      <c r="K52" s="39">
        <v>8</v>
      </c>
      <c r="L52" s="40">
        <f t="shared" si="1"/>
        <v>1.3333333333333333</v>
      </c>
      <c r="M52" s="39">
        <v>19</v>
      </c>
      <c r="N52" s="40">
        <f t="shared" si="2"/>
        <v>5.4285714285714288</v>
      </c>
      <c r="O52" s="34">
        <v>5</v>
      </c>
      <c r="P52" s="41">
        <f t="shared" si="3"/>
        <v>13.261904761904763</v>
      </c>
    </row>
    <row r="53" spans="2:16" ht="24.95" customHeight="1" thickBot="1">
      <c r="B53" s="32">
        <v>43</v>
      </c>
      <c r="C53" s="46" t="s">
        <v>92</v>
      </c>
      <c r="D53" s="46" t="s">
        <v>93</v>
      </c>
      <c r="E53" s="59"/>
      <c r="F53" s="60"/>
      <c r="G53" s="49"/>
      <c r="H53" s="50">
        <f t="shared" si="0"/>
        <v>0</v>
      </c>
      <c r="I53" s="51"/>
      <c r="J53" s="47"/>
      <c r="K53" s="47" t="s">
        <v>128</v>
      </c>
      <c r="L53" s="52">
        <v>0</v>
      </c>
      <c r="M53" s="61" t="s">
        <v>127</v>
      </c>
      <c r="N53" s="52">
        <v>0</v>
      </c>
      <c r="O53" s="61" t="s">
        <v>128</v>
      </c>
      <c r="P53" s="53">
        <v>0</v>
      </c>
    </row>
    <row r="54" spans="2:16" ht="24.95" customHeight="1" thickBot="1">
      <c r="B54" s="32">
        <v>44</v>
      </c>
      <c r="C54" s="33" t="s">
        <v>94</v>
      </c>
      <c r="D54" s="33" t="s">
        <v>95</v>
      </c>
      <c r="E54" s="57">
        <v>5</v>
      </c>
      <c r="F54" s="58">
        <v>12</v>
      </c>
      <c r="G54" s="36">
        <v>12</v>
      </c>
      <c r="H54" s="37">
        <f t="shared" si="0"/>
        <v>2</v>
      </c>
      <c r="I54" s="43">
        <v>7</v>
      </c>
      <c r="J54" s="39">
        <v>10</v>
      </c>
      <c r="K54" s="39">
        <v>10</v>
      </c>
      <c r="L54" s="40">
        <f t="shared" si="1"/>
        <v>1.6666666666666667</v>
      </c>
      <c r="M54" s="39">
        <v>16</v>
      </c>
      <c r="N54" s="40">
        <f t="shared" si="2"/>
        <v>4.5714285714285712</v>
      </c>
      <c r="O54" s="34">
        <v>5</v>
      </c>
      <c r="P54" s="41">
        <f t="shared" si="3"/>
        <v>13.238095238095237</v>
      </c>
    </row>
    <row r="55" spans="2:16" ht="24.95" customHeight="1" thickBot="1">
      <c r="B55" s="32">
        <v>45</v>
      </c>
      <c r="C55" s="33" t="s">
        <v>96</v>
      </c>
      <c r="D55" s="33" t="s">
        <v>97</v>
      </c>
      <c r="E55" s="57">
        <v>6</v>
      </c>
      <c r="F55" s="58">
        <v>10</v>
      </c>
      <c r="G55" s="36">
        <v>10</v>
      </c>
      <c r="H55" s="37">
        <f t="shared" si="0"/>
        <v>1.6666666666666667</v>
      </c>
      <c r="I55" s="43">
        <v>8</v>
      </c>
      <c r="J55" s="39"/>
      <c r="K55" s="39">
        <v>8</v>
      </c>
      <c r="L55" s="40">
        <f t="shared" si="1"/>
        <v>1.3333333333333333</v>
      </c>
      <c r="M55" s="39">
        <v>18</v>
      </c>
      <c r="N55" s="40">
        <f t="shared" si="2"/>
        <v>5.1428571428571432</v>
      </c>
      <c r="O55" s="34">
        <v>5</v>
      </c>
      <c r="P55" s="41">
        <f t="shared" si="3"/>
        <v>13.142857142857142</v>
      </c>
    </row>
    <row r="56" spans="2:16" ht="24.95" customHeight="1" thickBot="1">
      <c r="B56" s="32">
        <v>46</v>
      </c>
      <c r="C56" s="33" t="s">
        <v>98</v>
      </c>
      <c r="D56" s="33" t="s">
        <v>99</v>
      </c>
      <c r="E56" s="57">
        <v>11</v>
      </c>
      <c r="F56" s="58"/>
      <c r="G56" s="36">
        <v>11</v>
      </c>
      <c r="H56" s="37">
        <f t="shared" si="0"/>
        <v>1.8333333333333333</v>
      </c>
      <c r="I56" s="43">
        <v>9</v>
      </c>
      <c r="J56" s="39"/>
      <c r="K56" s="39">
        <v>9</v>
      </c>
      <c r="L56" s="40">
        <f t="shared" si="1"/>
        <v>1.5</v>
      </c>
      <c r="M56" s="39">
        <v>16</v>
      </c>
      <c r="N56" s="40">
        <f t="shared" si="2"/>
        <v>4.5714285714285712</v>
      </c>
      <c r="O56" s="34">
        <v>5</v>
      </c>
      <c r="P56" s="41">
        <f t="shared" si="3"/>
        <v>12.904761904761905</v>
      </c>
    </row>
    <row r="57" spans="2:16" ht="24.95" customHeight="1" thickBot="1">
      <c r="B57" s="32">
        <v>47</v>
      </c>
      <c r="C57" s="33" t="s">
        <v>100</v>
      </c>
      <c r="D57" s="33" t="s">
        <v>101</v>
      </c>
      <c r="E57" s="57">
        <v>10</v>
      </c>
      <c r="F57" s="58"/>
      <c r="G57" s="36">
        <v>10</v>
      </c>
      <c r="H57" s="37">
        <f t="shared" si="0"/>
        <v>1.6666666666666667</v>
      </c>
      <c r="I57" s="43">
        <v>9</v>
      </c>
      <c r="J57" s="39"/>
      <c r="K57" s="39">
        <v>9</v>
      </c>
      <c r="L57" s="40">
        <f t="shared" si="1"/>
        <v>1.5</v>
      </c>
      <c r="M57" s="39">
        <v>16</v>
      </c>
      <c r="N57" s="40">
        <f t="shared" si="2"/>
        <v>4.5714285714285712</v>
      </c>
      <c r="O57" s="34">
        <v>5</v>
      </c>
      <c r="P57" s="41">
        <f t="shared" si="3"/>
        <v>12.738095238095237</v>
      </c>
    </row>
    <row r="58" spans="2:16" ht="24.95" customHeight="1" thickBot="1">
      <c r="B58" s="32">
        <v>48</v>
      </c>
      <c r="C58" s="33" t="s">
        <v>102</v>
      </c>
      <c r="D58" s="33" t="s">
        <v>103</v>
      </c>
      <c r="E58" s="57">
        <v>7</v>
      </c>
      <c r="F58" s="58">
        <v>13</v>
      </c>
      <c r="G58" s="36">
        <v>13</v>
      </c>
      <c r="H58" s="37">
        <f t="shared" si="0"/>
        <v>2.1666666666666665</v>
      </c>
      <c r="I58" s="43">
        <v>7</v>
      </c>
      <c r="J58" s="39">
        <v>9</v>
      </c>
      <c r="K58" s="39">
        <v>9</v>
      </c>
      <c r="L58" s="40">
        <f t="shared" si="1"/>
        <v>1.5</v>
      </c>
      <c r="M58" s="39">
        <v>15</v>
      </c>
      <c r="N58" s="40">
        <f t="shared" si="2"/>
        <v>4.2857142857142856</v>
      </c>
      <c r="O58" s="34">
        <v>5</v>
      </c>
      <c r="P58" s="41">
        <f t="shared" si="3"/>
        <v>12.952380952380953</v>
      </c>
    </row>
    <row r="59" spans="2:16" ht="24.95" customHeight="1" thickBot="1">
      <c r="B59" s="32">
        <v>49</v>
      </c>
      <c r="C59" s="33" t="s">
        <v>104</v>
      </c>
      <c r="D59" s="33" t="s">
        <v>105</v>
      </c>
      <c r="E59" s="57">
        <v>9</v>
      </c>
      <c r="F59" s="58"/>
      <c r="G59" s="36">
        <v>9</v>
      </c>
      <c r="H59" s="37">
        <f t="shared" si="0"/>
        <v>1.5</v>
      </c>
      <c r="I59" s="43">
        <v>5</v>
      </c>
      <c r="J59" s="62">
        <v>8</v>
      </c>
      <c r="K59" s="62">
        <v>8</v>
      </c>
      <c r="L59" s="40">
        <f t="shared" si="1"/>
        <v>1.3333333333333333</v>
      </c>
      <c r="M59" s="62">
        <v>16</v>
      </c>
      <c r="N59" s="40">
        <f t="shared" si="2"/>
        <v>4.5714285714285712</v>
      </c>
      <c r="O59" s="34">
        <v>5</v>
      </c>
      <c r="P59" s="41">
        <f t="shared" si="3"/>
        <v>12.404761904761905</v>
      </c>
    </row>
    <row r="60" spans="2:16" ht="24.95" customHeight="1" thickBot="1">
      <c r="B60" s="32">
        <v>50</v>
      </c>
      <c r="C60" s="33" t="s">
        <v>106</v>
      </c>
      <c r="D60" s="33" t="s">
        <v>107</v>
      </c>
      <c r="E60" s="57">
        <v>4</v>
      </c>
      <c r="F60" s="58">
        <v>12</v>
      </c>
      <c r="G60" s="36">
        <v>12</v>
      </c>
      <c r="H60" s="37">
        <f t="shared" si="0"/>
        <v>2</v>
      </c>
      <c r="I60" s="63">
        <v>8</v>
      </c>
      <c r="J60" s="36"/>
      <c r="K60" s="64">
        <v>8</v>
      </c>
      <c r="L60" s="40">
        <f t="shared" si="1"/>
        <v>1.3333333333333333</v>
      </c>
      <c r="M60" s="65">
        <v>16</v>
      </c>
      <c r="N60" s="40">
        <f t="shared" si="2"/>
        <v>4.5714285714285712</v>
      </c>
      <c r="O60" s="34">
        <v>5</v>
      </c>
      <c r="P60" s="41">
        <f t="shared" si="3"/>
        <v>12.904761904761905</v>
      </c>
    </row>
    <row r="61" spans="2:16" ht="24.95" customHeight="1" thickBot="1">
      <c r="B61" s="32">
        <v>51</v>
      </c>
      <c r="C61" s="46" t="s">
        <v>108</v>
      </c>
      <c r="D61" s="46" t="s">
        <v>109</v>
      </c>
      <c r="E61" s="59"/>
      <c r="F61" s="60">
        <v>8</v>
      </c>
      <c r="G61" s="49">
        <v>8</v>
      </c>
      <c r="H61" s="50">
        <f t="shared" si="0"/>
        <v>1.3333333333333333</v>
      </c>
      <c r="I61" s="66"/>
      <c r="J61" s="67">
        <v>7</v>
      </c>
      <c r="K61" s="68">
        <f>(J61*2.5)/15</f>
        <v>1.1666666666666667</v>
      </c>
      <c r="L61" s="52">
        <v>1</v>
      </c>
      <c r="M61" s="69">
        <v>6</v>
      </c>
      <c r="N61" s="52">
        <f t="shared" si="2"/>
        <v>1.7142857142857142</v>
      </c>
      <c r="O61" s="70">
        <v>5</v>
      </c>
      <c r="P61" s="53">
        <f t="shared" si="3"/>
        <v>9.0476190476190474</v>
      </c>
    </row>
    <row r="62" spans="2:16" ht="24.95" customHeight="1" thickBot="1">
      <c r="B62" s="32">
        <v>52</v>
      </c>
      <c r="C62" s="46" t="s">
        <v>110</v>
      </c>
      <c r="D62" s="46" t="s">
        <v>111</v>
      </c>
      <c r="E62" s="71">
        <v>12</v>
      </c>
      <c r="F62" s="60"/>
      <c r="G62" s="49">
        <v>12</v>
      </c>
      <c r="H62" s="50">
        <f t="shared" si="0"/>
        <v>2</v>
      </c>
      <c r="I62" s="66"/>
      <c r="J62" s="67">
        <v>7</v>
      </c>
      <c r="K62" s="69">
        <v>1</v>
      </c>
      <c r="L62" s="52">
        <v>1</v>
      </c>
      <c r="M62" s="69">
        <v>16</v>
      </c>
      <c r="N62" s="52">
        <f t="shared" si="2"/>
        <v>4.5714285714285712</v>
      </c>
      <c r="O62" s="70">
        <v>5</v>
      </c>
      <c r="P62" s="53">
        <f t="shared" si="3"/>
        <v>12.571428571428571</v>
      </c>
    </row>
    <row r="63" spans="2:16" ht="24.95" customHeight="1" thickBot="1">
      <c r="B63" s="32">
        <v>53</v>
      </c>
      <c r="C63" s="33" t="s">
        <v>112</v>
      </c>
      <c r="D63" s="33" t="s">
        <v>113</v>
      </c>
      <c r="E63" s="57">
        <v>7</v>
      </c>
      <c r="F63" s="58">
        <v>10</v>
      </c>
      <c r="G63" s="36">
        <v>10</v>
      </c>
      <c r="H63" s="37">
        <f t="shared" si="0"/>
        <v>1.6666666666666667</v>
      </c>
      <c r="I63" s="63">
        <v>9</v>
      </c>
      <c r="J63" s="36"/>
      <c r="K63" s="72">
        <v>9</v>
      </c>
      <c r="L63" s="40">
        <f t="shared" si="1"/>
        <v>1.5</v>
      </c>
      <c r="M63" s="65">
        <v>8</v>
      </c>
      <c r="N63" s="40">
        <f t="shared" si="2"/>
        <v>2.2857142857142856</v>
      </c>
      <c r="O63" s="34">
        <v>5</v>
      </c>
      <c r="P63" s="41">
        <f t="shared" si="3"/>
        <v>10.452380952380953</v>
      </c>
    </row>
    <row r="64" spans="2:16" ht="24.95" customHeight="1" thickBot="1">
      <c r="B64" s="32">
        <v>54</v>
      </c>
      <c r="C64" s="33" t="s">
        <v>114</v>
      </c>
      <c r="D64" s="33" t="s">
        <v>115</v>
      </c>
      <c r="E64" s="57">
        <v>7</v>
      </c>
      <c r="F64" s="58">
        <v>11</v>
      </c>
      <c r="G64" s="36">
        <v>11</v>
      </c>
      <c r="H64" s="37">
        <f t="shared" si="0"/>
        <v>1.8333333333333333</v>
      </c>
      <c r="I64" s="63">
        <v>9</v>
      </c>
      <c r="J64" s="36"/>
      <c r="K64" s="73">
        <v>9</v>
      </c>
      <c r="L64" s="40">
        <f t="shared" si="1"/>
        <v>1.5</v>
      </c>
      <c r="M64" s="65">
        <v>18</v>
      </c>
      <c r="N64" s="40">
        <f t="shared" si="2"/>
        <v>5.1428571428571432</v>
      </c>
      <c r="O64" s="34">
        <v>5</v>
      </c>
      <c r="P64" s="41">
        <f t="shared" si="3"/>
        <v>13.476190476190476</v>
      </c>
    </row>
    <row r="65" spans="2:16" ht="24.95" customHeight="1" thickBot="1">
      <c r="B65" s="32">
        <v>55</v>
      </c>
      <c r="C65" s="33" t="s">
        <v>116</v>
      </c>
      <c r="D65" s="33" t="s">
        <v>117</v>
      </c>
      <c r="E65" s="73">
        <v>3</v>
      </c>
      <c r="F65" s="58"/>
      <c r="G65" s="36">
        <v>3</v>
      </c>
      <c r="H65" s="37">
        <f t="shared" si="0"/>
        <v>0.5</v>
      </c>
      <c r="I65" s="63">
        <v>8</v>
      </c>
      <c r="J65" s="36"/>
      <c r="K65" s="73">
        <v>8</v>
      </c>
      <c r="L65" s="40">
        <f t="shared" si="1"/>
        <v>1.3333333333333333</v>
      </c>
      <c r="M65" s="65">
        <v>13</v>
      </c>
      <c r="N65" s="40">
        <f t="shared" si="2"/>
        <v>3.7142857142857144</v>
      </c>
      <c r="O65" s="34">
        <v>5</v>
      </c>
      <c r="P65" s="41">
        <f t="shared" si="3"/>
        <v>10.547619047619047</v>
      </c>
    </row>
    <row r="66" spans="2:16">
      <c r="H66" s="11"/>
    </row>
    <row r="67" spans="2:16">
      <c r="H67" s="11"/>
    </row>
    <row r="68" spans="2:16">
      <c r="H68" s="11"/>
    </row>
    <row r="69" spans="2:16">
      <c r="H69" s="11"/>
    </row>
    <row r="70" spans="2:16">
      <c r="H70" s="11"/>
    </row>
    <row r="71" spans="2:16">
      <c r="H71" s="11"/>
    </row>
    <row r="72" spans="2:16">
      <c r="H72" s="11"/>
    </row>
    <row r="73" spans="2:16">
      <c r="H73" s="12"/>
    </row>
  </sheetData>
  <mergeCells count="8">
    <mergeCell ref="B8:J8"/>
    <mergeCell ref="B9:J9"/>
    <mergeCell ref="B1:J1"/>
    <mergeCell ref="B2:J2"/>
    <mergeCell ref="B3:J3"/>
    <mergeCell ref="B4:J4"/>
    <mergeCell ref="B5:J5"/>
    <mergeCell ref="B7:J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dcterms:created xsi:type="dcterms:W3CDTF">2025-10-29T09:14:00Z</dcterms:created>
  <dcterms:modified xsi:type="dcterms:W3CDTF">2026-01-03T06:59:28Z</dcterms:modified>
</cp:coreProperties>
</file>